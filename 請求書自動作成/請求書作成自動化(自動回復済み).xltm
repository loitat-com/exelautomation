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ch\OneDrive\ドキュメント\exel_traning\"/>
    </mc:Choice>
  </mc:AlternateContent>
  <xr:revisionPtr revIDLastSave="0" documentId="13_ncr:1_{90ED4F48-DBC8-4230-9092-CCDF8859950C}" xr6:coauthVersionLast="47" xr6:coauthVersionMax="47" xr10:uidLastSave="{00000000-0000-0000-0000-000000000000}"/>
  <bookViews>
    <workbookView xWindow="-96" yWindow="0" windowWidth="11712" windowHeight="12336" xr2:uid="{6431878A-C450-433B-B0D7-18F5CA1445A5}"/>
  </bookViews>
  <sheets>
    <sheet name="売り上げデータ" sheetId="1" r:id="rId1"/>
    <sheet name="請求書" sheetId="3" r:id="rId2"/>
  </sheets>
  <definedNames>
    <definedName name="_xlnm._FilterDatabase" localSheetId="0" hidden="1">売り上げデータ!$A$3:$F$17</definedName>
    <definedName name="_xlnm.Print_Area" localSheetId="1">請求書!$A$1:$E$20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3" l="1"/>
  <c r="E17" i="3"/>
  <c r="E18" i="3" s="1"/>
  <c r="B11" i="3" s="1"/>
  <c r="F17" i="1"/>
  <c r="F11" i="1"/>
  <c r="F12" i="1"/>
  <c r="F13" i="1"/>
  <c r="F14" i="1"/>
  <c r="F15" i="1"/>
  <c r="F16" i="1"/>
  <c r="F4" i="1"/>
  <c r="F5" i="1"/>
  <c r="F6" i="1"/>
  <c r="F7" i="1"/>
  <c r="F8" i="1"/>
  <c r="F9" i="1"/>
  <c r="F10" i="1"/>
</calcChain>
</file>

<file path=xl/sharedStrings.xml><?xml version="1.0" encoding="utf-8"?>
<sst xmlns="http://schemas.openxmlformats.org/spreadsheetml/2006/main" count="63" uniqueCount="35">
  <si>
    <t>売り上げデータ</t>
    <rPh sb="0" eb="1">
      <t>ウ</t>
    </rPh>
    <rPh sb="2" eb="3">
      <t>ア</t>
    </rPh>
    <phoneticPr fontId="1"/>
  </si>
  <si>
    <t>日付</t>
    <rPh sb="0" eb="2">
      <t>ヒヅケ</t>
    </rPh>
    <phoneticPr fontId="1"/>
  </si>
  <si>
    <t>商品</t>
    <rPh sb="0" eb="2">
      <t>ショウヒン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</si>
  <si>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</si>
  <si>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</si>
  <si>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会社名</t>
    <rPh sb="0" eb="3">
      <t>カイシャメイ</t>
    </rPh>
    <phoneticPr fontId="1"/>
  </si>
  <si>
    <t>レボテック</t>
    <phoneticPr fontId="1"/>
  </si>
  <si>
    <t>松井商店</t>
    <rPh sb="0" eb="2">
      <t>マツイ</t>
    </rPh>
    <rPh sb="2" eb="4">
      <t>ショウテン</t>
    </rPh>
    <phoneticPr fontId="1"/>
  </si>
  <si>
    <t>沼井重工</t>
    <rPh sb="0" eb="2">
      <t>ヌマイ</t>
    </rPh>
    <rPh sb="2" eb="4">
      <t>ジュウコウ</t>
    </rPh>
    <phoneticPr fontId="1"/>
  </si>
  <si>
    <t>基幹システム</t>
    <rPh sb="0" eb="2">
      <t>キカン</t>
    </rPh>
    <phoneticPr fontId="1"/>
  </si>
  <si>
    <t>VBAシステム</t>
    <phoneticPr fontId="1"/>
  </si>
  <si>
    <t>備考</t>
    <rPh sb="0" eb="2">
      <t xml:space="preserve">ビコウ </t>
    </rPh>
    <phoneticPr fontId="1"/>
  </si>
  <si>
    <t>合計</t>
    <rPh sb="0" eb="2">
      <t xml:space="preserve">ゴウケイ </t>
    </rPh>
    <phoneticPr fontId="1"/>
  </si>
  <si>
    <t>消費税</t>
    <rPh sb="0" eb="3">
      <t xml:space="preserve">ショウヒゼイガク </t>
    </rPh>
    <phoneticPr fontId="1"/>
  </si>
  <si>
    <t>小計</t>
    <rPh sb="0" eb="2">
      <t xml:space="preserve">ショウケイ </t>
    </rPh>
    <phoneticPr fontId="1"/>
  </si>
  <si>
    <t>金額</t>
    <rPh sb="0" eb="2">
      <t xml:space="preserve">キンガク </t>
    </rPh>
    <phoneticPr fontId="1"/>
  </si>
  <si>
    <t>担当：サンプル太郎</t>
    <rPh sb="0" eb="2">
      <t xml:space="preserve">タントウ </t>
    </rPh>
    <rPh sb="7" eb="9">
      <t xml:space="preserve">タロウ </t>
    </rPh>
    <phoneticPr fontId="1"/>
  </si>
  <si>
    <t>TEL：03-0000-0000</t>
    <phoneticPr fontId="1"/>
  </si>
  <si>
    <t>サンプルビル3階</t>
    <rPh sb="0" eb="4">
      <t>サンプルブ</t>
    </rPh>
    <phoneticPr fontId="1"/>
  </si>
  <si>
    <t>振込先</t>
    <rPh sb="0" eb="3">
      <t xml:space="preserve">フリコミサキ </t>
    </rPh>
    <phoneticPr fontId="1"/>
  </si>
  <si>
    <t>東京都千代田区千代田1-1-1</t>
    <rPh sb="0" eb="3">
      <t xml:space="preserve">トウキョウト </t>
    </rPh>
    <rPh sb="3" eb="7">
      <t xml:space="preserve">チヨダク </t>
    </rPh>
    <rPh sb="7" eb="10">
      <t xml:space="preserve">チヨダ </t>
    </rPh>
    <phoneticPr fontId="1"/>
  </si>
  <si>
    <t>支払期限</t>
    <rPh sb="0" eb="1">
      <t xml:space="preserve">シハライキゲン </t>
    </rPh>
    <phoneticPr fontId="1"/>
  </si>
  <si>
    <t>〒100-0001</t>
    <phoneticPr fontId="1"/>
  </si>
  <si>
    <t>件名</t>
    <rPh sb="0" eb="2">
      <t xml:space="preserve">ケンメイ </t>
    </rPh>
    <phoneticPr fontId="1"/>
  </si>
  <si>
    <t>下記のとおり、御請求申し上げます。</t>
    <rPh sb="0" eb="2">
      <t xml:space="preserve">カキノ </t>
    </rPh>
    <rPh sb="3" eb="4">
      <t xml:space="preserve">トオリ </t>
    </rPh>
    <rPh sb="10" eb="11">
      <t xml:space="preserve">モウシアゲマス </t>
    </rPh>
    <phoneticPr fontId="1"/>
  </si>
  <si>
    <t>請求日</t>
    <rPh sb="0" eb="3">
      <t xml:space="preserve">セイキュウビ </t>
    </rPh>
    <phoneticPr fontId="1"/>
  </si>
  <si>
    <t>No</t>
    <phoneticPr fontId="1"/>
  </si>
  <si>
    <t>請　求　書</t>
    <rPh sb="0" eb="5">
      <t xml:space="preserve">セイキュウショ </t>
    </rPh>
    <phoneticPr fontId="1"/>
  </si>
  <si>
    <t>会社指定</t>
    <rPh sb="0" eb="4">
      <t>カイシャシテイ</t>
    </rPh>
    <phoneticPr fontId="1"/>
  </si>
  <si>
    <t>数量</t>
    <rPh sb="0" eb="2">
      <t>スウリョウ</t>
    </rPh>
    <phoneticPr fontId="1"/>
  </si>
  <si>
    <t xml:space="preserve">サンプル銀行 本店 </t>
    <rPh sb="4" eb="6">
      <t xml:space="preserve">ギンコウ </t>
    </rPh>
    <rPh sb="7" eb="9">
      <t xml:space="preserve">ホンテン </t>
    </rPh>
    <phoneticPr fontId="1"/>
  </si>
  <si>
    <t>普通 1111111</t>
  </si>
  <si>
    <t>請求書リセット</t>
    <rPh sb="0" eb="3">
      <t>セイキュウショ</t>
    </rPh>
    <phoneticPr fontId="1"/>
  </si>
  <si>
    <t>請求書自動化サンプル</t>
    <rPh sb="0" eb="3">
      <t>セイキュウショ</t>
    </rPh>
    <rPh sb="3" eb="6">
      <t>ジドウカ</t>
    </rPh>
    <phoneticPr fontId="1"/>
  </si>
  <si>
    <t>松井商店</t>
    <rPh sb="0" eb="4">
      <t>マツイショウテン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</si>
</sst>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&quot;¥&quot;#,##0_);[Red]\(&quot;¥&quot;#,##0\)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3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2"/>
      <color rgb="FFFFFFFF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2E2E2E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63636"/>
        <bgColor rgb="FF000000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2E2E2E"/>
      </right>
      <top style="thin">
        <color rgb="FF2E2E2E"/>
      </top>
      <bottom/>
      <diagonal/>
    </border>
    <border>
      <left/>
      <right/>
      <top style="thin">
        <color rgb="FF2E2E2E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0" borderId="0" xfId="1">
      <alignment vertical="center"/>
    </xf>
    <xf numFmtId="38" fontId="6" fillId="0" borderId="0" xfId="2" applyFont="1" applyBorder="1">
      <alignment vertical="center"/>
    </xf>
    <xf numFmtId="0" fontId="6" fillId="0" borderId="0" xfId="1" applyFont="1" applyAlignment="1">
      <alignment horizontal="right" vertical="center"/>
    </xf>
    <xf numFmtId="0" fontId="4" fillId="3" borderId="0" xfId="1" applyFont="1" applyFill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14" fontId="3" fillId="0" borderId="0" xfId="1" applyNumberFormat="1" applyAlignment="1">
      <alignment horizontal="left" vertical="center"/>
    </xf>
    <xf numFmtId="14" fontId="3" fillId="0" borderId="0" xfId="1" applyNumberFormat="1">
      <alignment vertical="center"/>
    </xf>
    <xf numFmtId="0" fontId="3" fillId="0" borderId="0" xfId="1" applyAlignment="1">
      <alignment horizontal="right" vertical="center"/>
    </xf>
    <xf numFmtId="38" fontId="3" fillId="0" borderId="8" xfId="1" applyNumberFormat="1" applyBorder="1">
      <alignment vertical="center"/>
    </xf>
    <xf numFmtId="0" fontId="4" fillId="3" borderId="7" xfId="1" applyFont="1" applyFill="1" applyBorder="1" applyAlignment="1">
      <alignment horizontal="center" vertical="center"/>
    </xf>
    <xf numFmtId="176" fontId="3" fillId="0" borderId="0" xfId="1" applyNumberFormat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4" fillId="3" borderId="14" xfId="1" applyFont="1" applyFill="1" applyBorder="1" applyAlignment="1">
      <alignment horizontal="center" vertical="center"/>
    </xf>
    <xf numFmtId="38" fontId="0" fillId="0" borderId="11" xfId="1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0" borderId="0" xfId="1" applyAlignment="1">
      <alignment horizontal="right" vertical="center"/>
    </xf>
    <xf numFmtId="0" fontId="5" fillId="2" borderId="0" xfId="1" applyFont="1" applyFill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0" xfId="1" applyFont="1" applyAlignment="1">
      <alignment horizontal="left" vertical="center"/>
    </xf>
    <xf numFmtId="0" fontId="9" fillId="4" borderId="9" xfId="1" applyFont="1" applyFill="1" applyBorder="1" applyAlignment="1">
      <alignment horizontal="center" vertical="center"/>
    </xf>
    <xf numFmtId="0" fontId="9" fillId="4" borderId="10" xfId="1" applyFont="1" applyFill="1" applyBorder="1" applyAlignment="1">
      <alignment horizontal="center" vertical="center"/>
    </xf>
    <xf numFmtId="177" fontId="8" fillId="0" borderId="6" xfId="1" applyNumberFormat="1" applyFont="1" applyBorder="1" applyAlignment="1">
      <alignment horizontal="center" vertical="center"/>
    </xf>
    <xf numFmtId="177" fontId="8" fillId="0" borderId="5" xfId="1" applyNumberFormat="1" applyFont="1" applyBorder="1" applyAlignment="1">
      <alignment horizontal="center" vertical="center"/>
    </xf>
    <xf numFmtId="177" fontId="8" fillId="0" borderId="4" xfId="1" applyNumberFormat="1" applyFont="1" applyBorder="1" applyAlignment="1">
      <alignment horizontal="center" vertical="center"/>
    </xf>
    <xf numFmtId="177" fontId="8" fillId="0" borderId="3" xfId="1" applyNumberFormat="1" applyFont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14" fontId="0" fillId="0" borderId="8" xfId="0" applyNumberFormat="1" applyBorder="1" applyAlignment="1">
      <alignment horizontal="right" vertical="center"/>
    </xf>
    <xf numFmtId="0" fontId="0" fillId="0" borderId="8" xfId="0" applyNumberFormat="1" applyBorder="1" applyAlignment="1">
      <alignment horizontal="right" vertical="center"/>
    </xf>
  </cellXfs>
  <cellStyles count="3">
    <cellStyle name="桁区切り 2" xfId="2" xr:uid="{B3DB6336-D34B-4621-92F6-C6457D45ED09}"/>
    <cellStyle name="標準" xfId="0" builtinId="0"/>
    <cellStyle name="標準 2" xfId="1" xr:uid="{2F6A3C78-0191-4D50-A48E-278741CFA82B}"/>
  </cellStyles>
  <dxfs count="19">
    <dxf>
      <fill>
        <patternFill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/d"/>
      <fill>
        <patternFill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363636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4</xdr:row>
          <xdr:rowOff>76200</xdr:rowOff>
        </xdr:from>
        <xdr:to>
          <xdr:col>8</xdr:col>
          <xdr:colOff>449580</xdr:colOff>
          <xdr:row>5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7</xdr:row>
          <xdr:rowOff>106680</xdr:rowOff>
        </xdr:from>
        <xdr:to>
          <xdr:col>8</xdr:col>
          <xdr:colOff>426720</xdr:colOff>
          <xdr:row>8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388620</xdr:colOff>
          <xdr:row>4</xdr:row>
          <xdr:rowOff>83820</xdr:rowOff>
        </xdr:from>
        <xdr:to>
          <xdr:col>10</xdr:col>
          <xdr:colOff>281940</xdr:colOff>
          <xdr:row>5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2C484E-83C3-4EA5-BB06-60BB91288E94}" name="テーブル1" displayName="テーブル1" ref="A3:F17" totalsRowShown="0" headerRowDxfId="16" dataDxfId="15" headerRowBorderDxfId="13" tableBorderDxfId="14" totalsRowBorderDxfId="12">
  <tableColumns count="6">
    <tableColumn id="1" xr3:uid="{20C89C29-11E7-4C2A-8297-F5FA2399AB66}" name="日付" dataDxfId="10"/>
    <tableColumn id="2" xr3:uid="{13BA1E85-AD1A-4736-8FB7-05E8852ACE12}" name="会社名" dataDxfId="9"/>
    <tableColumn id="3" xr3:uid="{7838D19B-D438-439E-89BC-AB460D821770}" name="商品" dataDxfId="8"/>
    <tableColumn id="4" xr3:uid="{F47424BA-B425-4356-9B92-E3276A83862D}" name="単価" dataDxfId="7"/>
    <tableColumn id="5" xr3:uid="{8B1586AA-242E-42E6-8930-E16B18CE306F}" name="数量" dataDxfId="6"/>
    <tableColumn id="6" xr3:uid="{43EAB0BC-F0F9-4E51-A343-16312698F480}" name="金額" dataDxfId="5">
      <calculatedColumnFormula>テーブル1[[#This Row],[単価]]*テーブル1[[#This Row],[数量]]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29B4AC-2BC9-4BCE-A442-C4551F462DB1}" name="テーブル2" displayName="テーブル2" ref="A14:E15" insertRow="1" totalsRowShown="0" headerRowDxfId="18" dataDxfId="11" tableBorderDxfId="17" headerRowCellStyle="標準 2">
  <autoFilter ref="A14:E15" xr:uid="{A629B4AC-2BC9-4BCE-A442-C4551F462DB1}"/>
  <tableColumns count="5">
    <tableColumn id="1" xr3:uid="{C83A8041-B616-4D0F-99C6-9AE230FE1E47}" name="日付" dataDxfId="4"/>
    <tableColumn id="2" xr3:uid="{F71B2FFF-E1BB-4546-B9A1-AC29F767736F}" name="商品" dataDxfId="3"/>
    <tableColumn id="3" xr3:uid="{6E1C59E8-6AFC-4C87-AFB1-307F35200F43}" name="単価" dataDxfId="2"/>
    <tableColumn id="4" xr3:uid="{E43072BB-65A3-4660-A10E-B6934291B9EF}" name="数量" dataDxfId="1"/>
    <tableColumn id="5" xr3:uid="{69C3CAF0-2B28-42CE-80EA-72F86067A964}" name="金額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ACEC6-D583-4915-8DFE-DE070B5B7E36}">
  <sheetPr codeName="Sheet1"/>
  <dimension ref="A1:K17"/>
  <sheetViews>
    <sheetView tabSelected="1" workbookViewId="0">
      <selection activeCell="B5" sqref="B5"/>
    </sheetView>
  </sheetViews>
  <sheetFormatPr defaultRowHeight="18" x14ac:dyDescent="0.45"/>
  <cols>
    <col min="1" max="1" width="10.19921875" style="17" customWidth="1"/>
    <col min="2" max="2" width="10.3984375" style="17" customWidth="1"/>
    <col min="3" max="3" width="12.296875" style="17" bestFit="1" customWidth="1"/>
    <col min="4" max="6" width="8.796875" style="17"/>
  </cols>
  <sheetData>
    <row r="1" spans="1:11" x14ac:dyDescent="0.45">
      <c r="A1" s="17" t="s">
        <v>0</v>
      </c>
    </row>
    <row r="3" spans="1:11" x14ac:dyDescent="0.45">
      <c r="A3" s="18" t="s">
        <v>1</v>
      </c>
      <c r="B3" s="19" t="s">
        <v>5</v>
      </c>
      <c r="C3" s="20" t="s">
        <v>2</v>
      </c>
      <c r="D3" s="19" t="s">
        <v>3</v>
      </c>
      <c r="E3" s="19" t="s">
        <v>29</v>
      </c>
      <c r="F3" s="21" t="s">
        <v>4</v>
      </c>
      <c r="H3" s="25" t="s">
        <v>28</v>
      </c>
      <c r="I3" s="25"/>
    </row>
    <row r="4" spans="1:11" x14ac:dyDescent="0.45">
      <c r="A4" s="37">
        <v>44764</v>
      </c>
      <c r="B4" s="16" t="s">
        <v>6</v>
      </c>
      <c r="C4" s="16" t="s">
        <v>9</v>
      </c>
      <c r="D4" s="16">
        <v>120000</v>
      </c>
      <c r="E4" s="16">
        <v>1</v>
      </c>
      <c r="F4" s="16">
        <f>テーブル1[[#This Row],[単価]]*テーブル1[[#This Row],[数量]]</f>
        <v>120000</v>
      </c>
      <c r="H4" s="24" t="s">
        <v>34</v>
      </c>
      <c r="I4" s="24"/>
    </row>
    <row r="5" spans="1:11" x14ac:dyDescent="0.45">
      <c r="A5" s="37">
        <v>44764</v>
      </c>
      <c r="B5" s="16" t="s">
        <v>6</v>
      </c>
      <c r="C5" s="16" t="s">
        <v>9</v>
      </c>
      <c r="D5" s="16">
        <v>100000</v>
      </c>
      <c r="E5" s="16">
        <v>1</v>
      </c>
      <c r="F5" s="16">
        <f>テーブル1[[#This Row],[単価]]*テーブル1[[#This Row],[数量]]</f>
        <v>100000</v>
      </c>
      <c r="H5" s="24"/>
      <c r="I5" s="24"/>
      <c r="J5" s="24"/>
      <c r="K5" s="24"/>
    </row>
    <row r="6" spans="1:11" x14ac:dyDescent="0.45">
      <c r="A6" s="37">
        <v>44765</v>
      </c>
      <c r="B6" s="16" t="s">
        <v>7</v>
      </c>
      <c r="C6" s="16" t="s">
        <v>10</v>
      </c>
      <c r="D6" s="16">
        <v>50000</v>
      </c>
      <c r="E6" s="16">
        <v>1</v>
      </c>
      <c r="F6" s="16">
        <f>テーブル1[[#This Row],[単価]]*テーブル1[[#This Row],[数量]]</f>
        <v>50000</v>
      </c>
      <c r="H6" s="24"/>
      <c r="I6" s="24"/>
      <c r="J6" s="24"/>
      <c r="K6" s="24"/>
    </row>
    <row r="7" spans="1:11" x14ac:dyDescent="0.45">
      <c r="A7" s="37">
        <v>44767</v>
      </c>
      <c r="B7" s="16" t="s">
        <v>8</v>
      </c>
      <c r="C7" s="16" t="s">
        <v>10</v>
      </c>
      <c r="D7" s="16">
        <v>50000</v>
      </c>
      <c r="E7" s="16">
        <v>1</v>
      </c>
      <c r="F7" s="16">
        <f>テーブル1[[#This Row],[単価]]*テーブル1[[#This Row],[数量]]</f>
        <v>50000</v>
      </c>
      <c r="H7" s="25" t="s">
        <v>32</v>
      </c>
      <c r="I7" s="25"/>
    </row>
    <row r="8" spans="1:11" x14ac:dyDescent="0.45">
      <c r="A8" s="37">
        <v>44764</v>
      </c>
      <c r="B8" s="16" t="s">
        <v>8</v>
      </c>
      <c r="C8" s="16" t="s">
        <v>10</v>
      </c>
      <c r="D8" s="16">
        <v>50000</v>
      </c>
      <c r="E8" s="16">
        <v>1</v>
      </c>
      <c r="F8" s="16">
        <f>テーブル1[[#This Row],[単価]]*テーブル1[[#This Row],[数量]]</f>
        <v>50000</v>
      </c>
      <c r="H8" s="24"/>
      <c r="I8" s="24"/>
    </row>
    <row r="9" spans="1:11" x14ac:dyDescent="0.45">
      <c r="A9" s="37">
        <v>44764</v>
      </c>
      <c r="B9" s="16" t="s">
        <v>8</v>
      </c>
      <c r="C9" s="16" t="s">
        <v>9</v>
      </c>
      <c r="D9" s="16">
        <v>200000</v>
      </c>
      <c r="E9" s="16">
        <v>1</v>
      </c>
      <c r="F9" s="16">
        <f>テーブル1[[#This Row],[単価]]*テーブル1[[#This Row],[数量]]</f>
        <v>200000</v>
      </c>
      <c r="H9" s="24"/>
      <c r="I9" s="24"/>
    </row>
    <row r="10" spans="1:11" x14ac:dyDescent="0.45">
      <c r="A10" s="37">
        <v>44765</v>
      </c>
      <c r="B10" s="16" t="s">
        <v>34</v>
      </c>
      <c r="C10" s="16" t="s">
        <v>9</v>
      </c>
      <c r="D10" s="16">
        <v>30000</v>
      </c>
      <c r="E10" s="16">
        <v>1</v>
      </c>
      <c r="F10" s="16">
        <f>テーブル1[[#This Row],[単価]]*テーブル1[[#This Row],[数量]]</f>
        <v>30000</v>
      </c>
    </row>
    <row r="11" spans="1:11" x14ac:dyDescent="0.45">
      <c r="A11" s="37">
        <v>44766</v>
      </c>
      <c r="B11" s="16" t="s">
        <v>6</v>
      </c>
      <c r="C11" s="16" t="s">
        <v>10</v>
      </c>
      <c r="D11" s="16">
        <v>120000</v>
      </c>
      <c r="E11" s="16">
        <v>1</v>
      </c>
      <c r="F11" s="38">
        <f>テーブル1[[#This Row],[単価]]*テーブル1[[#This Row],[数量]]</f>
        <v>120000</v>
      </c>
    </row>
    <row r="12" spans="1:11" x14ac:dyDescent="0.45">
      <c r="A12" s="37">
        <v>44767</v>
      </c>
      <c r="B12" s="16" t="s">
        <v>6</v>
      </c>
      <c r="C12" s="16" t="s">
        <v>10</v>
      </c>
      <c r="D12" s="16">
        <v>100000</v>
      </c>
      <c r="E12" s="16">
        <v>1</v>
      </c>
      <c r="F12" s="38">
        <f>テーブル1[[#This Row],[単価]]*テーブル1[[#This Row],[数量]]</f>
        <v>100000</v>
      </c>
    </row>
    <row r="13" spans="1:11" x14ac:dyDescent="0.45">
      <c r="A13" s="37">
        <v>44768</v>
      </c>
      <c r="B13" s="16" t="s">
        <v>7</v>
      </c>
      <c r="C13" s="16" t="s">
        <v>10</v>
      </c>
      <c r="D13" s="16">
        <v>50000</v>
      </c>
      <c r="E13" s="16">
        <v>1</v>
      </c>
      <c r="F13" s="38">
        <f>テーブル1[[#This Row],[単価]]*テーブル1[[#This Row],[数量]]</f>
        <v>50000</v>
      </c>
    </row>
    <row r="14" spans="1:11" x14ac:dyDescent="0.45">
      <c r="A14" s="37">
        <v>44769</v>
      </c>
      <c r="B14" s="16" t="s">
        <v>8</v>
      </c>
      <c r="C14" s="16" t="s">
        <v>9</v>
      </c>
      <c r="D14" s="16">
        <v>50000</v>
      </c>
      <c r="E14" s="16">
        <v>1</v>
      </c>
      <c r="F14" s="38">
        <f>テーブル1[[#This Row],[単価]]*テーブル1[[#This Row],[数量]]</f>
        <v>50000</v>
      </c>
    </row>
    <row r="15" spans="1:11" x14ac:dyDescent="0.45">
      <c r="A15" s="37">
        <v>44770</v>
      </c>
      <c r="B15" s="16" t="s">
        <v>8</v>
      </c>
      <c r="C15" s="16" t="s">
        <v>9</v>
      </c>
      <c r="D15" s="16">
        <v>50000</v>
      </c>
      <c r="E15" s="16">
        <v>1</v>
      </c>
      <c r="F15" s="38">
        <f>テーブル1[[#This Row],[単価]]*テーブル1[[#This Row],[数量]]</f>
        <v>50000</v>
      </c>
    </row>
    <row r="16" spans="1:11" x14ac:dyDescent="0.45">
      <c r="A16" s="37">
        <v>44771</v>
      </c>
      <c r="B16" s="16" t="s">
        <v>8</v>
      </c>
      <c r="C16" s="16" t="s">
        <v>9</v>
      </c>
      <c r="D16" s="16">
        <v>200000</v>
      </c>
      <c r="E16" s="16">
        <v>1</v>
      </c>
      <c r="F16" s="38">
        <f>テーブル1[[#This Row],[単価]]*テーブル1[[#This Row],[数量]]</f>
        <v>200000</v>
      </c>
    </row>
    <row r="17" spans="1:6" x14ac:dyDescent="0.45">
      <c r="A17" s="37">
        <v>44772</v>
      </c>
      <c r="B17" s="16" t="s">
        <v>34</v>
      </c>
      <c r="C17" s="16" t="s">
        <v>9</v>
      </c>
      <c r="D17" s="16">
        <v>50000</v>
      </c>
      <c r="E17" s="16">
        <v>1</v>
      </c>
      <c r="F17" s="38">
        <f>テーブル1[[#This Row],[単価]]*テーブル1[[#This Row],[数量]]</f>
        <v>50000</v>
      </c>
    </row>
  </sheetData>
  <mergeCells count="6">
    <mergeCell ref="J5:K6"/>
    <mergeCell ref="H3:I3"/>
    <mergeCell ref="H4:I4"/>
    <mergeCell ref="H5:I6"/>
    <mergeCell ref="H8:I9"/>
    <mergeCell ref="H7:I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請求書自動作成">
                <anchor moveWithCells="1">
                  <from>
                    <xdr:col>7</xdr:col>
                    <xdr:colOff>228600</xdr:colOff>
                    <xdr:row>4</xdr:row>
                    <xdr:rowOff>76200</xdr:rowOff>
                  </from>
                  <to>
                    <xdr:col>8</xdr:col>
                    <xdr:colOff>449580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リセット">
                <anchor moveWithCells="1">
                  <from>
                    <xdr:col>7</xdr:col>
                    <xdr:colOff>251460</xdr:colOff>
                    <xdr:row>7</xdr:row>
                    <xdr:rowOff>106680</xdr:rowOff>
                  </from>
                  <to>
                    <xdr:col>8</xdr:col>
                    <xdr:colOff>426720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DF作成">
                <anchor moveWithCells="1">
                  <from>
                    <xdr:col>9</xdr:col>
                    <xdr:colOff>388620</xdr:colOff>
                    <xdr:row>4</xdr:row>
                    <xdr:rowOff>83820</xdr:rowOff>
                  </from>
                  <to>
                    <xdr:col>10</xdr:col>
                    <xdr:colOff>281940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49AA-5693-4B69-9A7E-034F239F81BA}">
  <sheetPr codeName="Sheet2">
    <pageSetUpPr fitToPage="1"/>
  </sheetPr>
  <dimension ref="A1:E146"/>
  <sheetViews>
    <sheetView showGridLines="0" topLeftCell="A23" zoomScaleNormal="100" zoomScalePageLayoutView="120" workbookViewId="0">
      <selection activeCell="E9" sqref="E9"/>
    </sheetView>
  </sheetViews>
  <sheetFormatPr defaultColWidth="10.796875" defaultRowHeight="19.8" x14ac:dyDescent="0.45"/>
  <cols>
    <col min="1" max="2" width="14.5" style="1" customWidth="1"/>
    <col min="3" max="3" width="10.3984375" style="1" customWidth="1"/>
    <col min="4" max="4" width="13.3984375" style="1" customWidth="1"/>
    <col min="5" max="5" width="14" style="1" bestFit="1" customWidth="1"/>
    <col min="6" max="16384" width="10.796875" style="1"/>
  </cols>
  <sheetData>
    <row r="1" spans="1:5" ht="43.95" customHeight="1" x14ac:dyDescent="0.45">
      <c r="A1" s="28" t="s">
        <v>27</v>
      </c>
      <c r="B1" s="28"/>
      <c r="C1" s="28"/>
      <c r="D1" s="28"/>
      <c r="E1" s="28"/>
    </row>
    <row r="2" spans="1:5" ht="19.8" customHeight="1" x14ac:dyDescent="0.45">
      <c r="A2" s="29"/>
      <c r="B2" s="29"/>
      <c r="C2" s="29"/>
      <c r="D2" s="12" t="s">
        <v>26</v>
      </c>
      <c r="E2" s="15"/>
    </row>
    <row r="3" spans="1:5" ht="19.8" customHeight="1" x14ac:dyDescent="0.45">
      <c r="A3" s="29"/>
      <c r="B3" s="29"/>
      <c r="C3" s="29"/>
      <c r="D3" s="12" t="s">
        <v>25</v>
      </c>
      <c r="E3" s="11"/>
    </row>
    <row r="4" spans="1:5" x14ac:dyDescent="0.45">
      <c r="E4" s="11"/>
    </row>
    <row r="5" spans="1:5" x14ac:dyDescent="0.45">
      <c r="A5" s="1" t="s">
        <v>24</v>
      </c>
    </row>
    <row r="6" spans="1:5" x14ac:dyDescent="0.45">
      <c r="A6" s="4" t="s">
        <v>23</v>
      </c>
      <c r="B6" s="1" t="s">
        <v>33</v>
      </c>
      <c r="D6" s="26" t="s">
        <v>22</v>
      </c>
      <c r="E6" s="26"/>
    </row>
    <row r="7" spans="1:5" x14ac:dyDescent="0.45">
      <c r="A7" s="4" t="s">
        <v>21</v>
      </c>
      <c r="B7" s="10"/>
      <c r="D7" s="26" t="s">
        <v>20</v>
      </c>
      <c r="E7" s="26"/>
    </row>
    <row r="8" spans="1:5" x14ac:dyDescent="0.45">
      <c r="A8" s="36" t="s">
        <v>19</v>
      </c>
      <c r="B8" s="1" t="s">
        <v>30</v>
      </c>
      <c r="D8" s="26" t="s">
        <v>18</v>
      </c>
      <c r="E8" s="26"/>
    </row>
    <row r="9" spans="1:5" x14ac:dyDescent="0.45">
      <c r="A9" s="36"/>
      <c r="B9" s="1" t="s">
        <v>31</v>
      </c>
      <c r="D9" s="12"/>
      <c r="E9" s="12" t="s">
        <v>17</v>
      </c>
    </row>
    <row r="10" spans="1:5" x14ac:dyDescent="0.45">
      <c r="A10" s="9"/>
      <c r="D10" s="12"/>
      <c r="E10" s="12" t="s">
        <v>16</v>
      </c>
    </row>
    <row r="11" spans="1:5" ht="19.8" customHeight="1" x14ac:dyDescent="0.45">
      <c r="A11" s="30" t="s">
        <v>12</v>
      </c>
      <c r="B11" s="32">
        <f>E18</f>
        <v>0</v>
      </c>
      <c r="C11" s="33"/>
    </row>
    <row r="12" spans="1:5" ht="19.8" customHeight="1" x14ac:dyDescent="0.45">
      <c r="A12" s="31"/>
      <c r="B12" s="34"/>
      <c r="C12" s="35"/>
    </row>
    <row r="14" spans="1:5" x14ac:dyDescent="0.45">
      <c r="A14" s="22" t="s">
        <v>1</v>
      </c>
      <c r="B14" s="14" t="s">
        <v>2</v>
      </c>
      <c r="C14" s="8" t="s">
        <v>3</v>
      </c>
      <c r="D14" s="8" t="s">
        <v>29</v>
      </c>
      <c r="E14" s="7" t="s">
        <v>15</v>
      </c>
    </row>
    <row r="15" spans="1:5" x14ac:dyDescent="0.45">
      <c r="A15" s="37"/>
      <c r="B15" s="16"/>
      <c r="C15" s="16"/>
      <c r="D15" s="16"/>
      <c r="E15" s="38"/>
    </row>
    <row r="16" spans="1:5" x14ac:dyDescent="0.45">
      <c r="D16" s="4" t="s">
        <v>14</v>
      </c>
      <c r="E16" s="23">
        <f>SUM(E15:E15)</f>
        <v>0</v>
      </c>
    </row>
    <row r="17" spans="1:5" x14ac:dyDescent="0.45">
      <c r="A17" s="6"/>
      <c r="B17" s="5"/>
      <c r="D17" s="4" t="s">
        <v>13</v>
      </c>
      <c r="E17" s="13">
        <f>E16*0.1</f>
        <v>0</v>
      </c>
    </row>
    <row r="18" spans="1:5" x14ac:dyDescent="0.45">
      <c r="A18" s="3"/>
      <c r="B18" s="2"/>
      <c r="D18" s="4" t="s">
        <v>12</v>
      </c>
      <c r="E18" s="13">
        <f>E16+E17</f>
        <v>0</v>
      </c>
    </row>
    <row r="19" spans="1:5" x14ac:dyDescent="0.45">
      <c r="A19" s="3"/>
      <c r="B19" s="2"/>
    </row>
    <row r="20" spans="1:5" x14ac:dyDescent="0.45">
      <c r="A20" s="27" t="s">
        <v>11</v>
      </c>
      <c r="B20" s="27"/>
      <c r="C20" s="27"/>
      <c r="D20" s="27"/>
      <c r="E20" s="27"/>
    </row>
    <row r="146" ht="16.8" customHeight="1" x14ac:dyDescent="0.45"/>
  </sheetData>
  <mergeCells count="9">
    <mergeCell ref="D6:E6"/>
    <mergeCell ref="D7:E7"/>
    <mergeCell ref="D8:E8"/>
    <mergeCell ref="A20:E20"/>
    <mergeCell ref="A1:E1"/>
    <mergeCell ref="A2:C3"/>
    <mergeCell ref="A11:A12"/>
    <mergeCell ref="B11:C12"/>
    <mergeCell ref="A8:A9"/>
  </mergeCells>
  <phoneticPr fontId="1"/>
  <pageMargins left="1.299212598425197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売り上げデータ</vt:lpstr>
      <vt:lpstr>請求書</vt:lpstr>
      <vt:lpstr>請求書!Print_Area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武林慎太郎</dc:creator>
  <cp:lastModifiedBy>慎太郎 武林</cp:lastModifiedBy>
  <cp:lastPrinted>2023-08-25T13:49:33Z</cp:lastPrinted>
  <dcterms:created xsi:type="dcterms:W3CDTF">2023-08-25T07:04:20Z</dcterms:created>
  <dcterms:modified xsi:type="dcterms:W3CDTF">2023-09-03T06:23:07Z</dcterms:modified>
</cp:coreProperties>
</file>